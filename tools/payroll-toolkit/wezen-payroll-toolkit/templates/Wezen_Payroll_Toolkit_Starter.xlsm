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/>
  <workbookPr/>
  <mc:AlternateContent xmlns:mc="http://schemas.openxmlformats.org/markup-compatibility/2006">
    <mc:Choice Requires="x15">
      <x15ac:absPath xmlns:x15ac="http://schemas.microsoft.com/office/spreadsheetml/2010/11/ac" url="https://wezenstaffing-my.sharepoint.com/personal/valleyk_wezenstaffing_com/Documents/Documents/generate-repo/wezen-payroll/tools/payroll-toolkit/wezen-payroll-toolkit/templates/"/>
    </mc:Choice>
  </mc:AlternateContent>
  <xr:revisionPtr revIDLastSave="0" documentId="8_{846318D4-4EA0-394D-84D4-ABA7458F9971}" xr6:coauthVersionLast="47" xr6:coauthVersionMax="47" xr10:uidLastSave="{00000000-0000-0000-0000-000000000000}"/>
  <bookViews>
    <workbookView xWindow="0" yWindow="660" windowWidth="30240" windowHeight="17840" xr2:uid="{00000000-000D-0000-FFFF-FFFF00000000}"/>
  </bookViews>
  <sheets>
    <sheet name="PAYSTUB" sheetId="1" r:id="rId1"/>
    <sheet name="Dashboard" sheetId="2" r:id="rId2"/>
    <sheet name="Settings" sheetId="3" r:id="rId3"/>
    <sheet name="Employee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9" i="1" l="1"/>
  <c r="G37" i="1"/>
  <c r="G26" i="1"/>
  <c r="E25" i="1"/>
  <c r="G25" i="1" s="1"/>
  <c r="E24" i="1"/>
  <c r="G24" i="1" s="1"/>
  <c r="G23" i="1"/>
  <c r="G38" i="1" l="1"/>
  <c r="G40" i="1" s="1"/>
</calcChain>
</file>

<file path=xl/sharedStrings.xml><?xml version="1.0" encoding="utf-8"?>
<sst xmlns="http://schemas.openxmlformats.org/spreadsheetml/2006/main" count="76" uniqueCount="71">
  <si>
    <t>Wezen Staffing</t>
  </si>
  <si>
    <t>2498 Livorno Ct</t>
  </si>
  <si>
    <t>Livermore, CA 94550</t>
  </si>
  <si>
    <t>EARNINGS STATEMENT</t>
  </si>
  <si>
    <t>EMPLOYEE DETAILS</t>
  </si>
  <si>
    <t>NAME</t>
  </si>
  <si>
    <t>Balraj Mehla</t>
  </si>
  <si>
    <t>PAY SCHEDULE</t>
  </si>
  <si>
    <t>Weekly</t>
  </si>
  <si>
    <t>ADDRESS</t>
  </si>
  <si>
    <t>6054 Cedar Blvd, Apt J</t>
  </si>
  <si>
    <t>PAY PERIOD</t>
  </si>
  <si>
    <t>December 01, 2025 to December 07, 2025</t>
  </si>
  <si>
    <t>Newark, CA 94560</t>
  </si>
  <si>
    <t>PAY DATE</t>
  </si>
  <si>
    <t>SOCIAL SECURITY NUMBER</t>
  </si>
  <si>
    <t>XXX-XX-1198</t>
  </si>
  <si>
    <t>EMPLOYEE ID</t>
  </si>
  <si>
    <t>WS0210</t>
  </si>
  <si>
    <t>EARNINGS</t>
  </si>
  <si>
    <t>RATE</t>
  </si>
  <si>
    <t>HOURS</t>
  </si>
  <si>
    <t>CURRENT</t>
  </si>
  <si>
    <t>REGULAR</t>
  </si>
  <si>
    <t>OVERTIME</t>
  </si>
  <si>
    <t>DOUBLE</t>
  </si>
  <si>
    <t>HOLIDAY</t>
  </si>
  <si>
    <t>DEDUCTIONS</t>
  </si>
  <si>
    <t>FEDERAL TAX</t>
  </si>
  <si>
    <t>STATE TAX</t>
  </si>
  <si>
    <t>SOCIAL SECURITY TAX</t>
  </si>
  <si>
    <t>MEDICARE TAX</t>
  </si>
  <si>
    <t>OTHER</t>
  </si>
  <si>
    <t>TOTAL</t>
  </si>
  <si>
    <t>NET PAY</t>
  </si>
  <si>
    <t>WEZEN PAYROLL TOOLKIT</t>
  </si>
  <si>
    <t>Payroll Folder</t>
  </si>
  <si>
    <t>Selected Employee</t>
  </si>
  <si>
    <t>Payroll Year</t>
  </si>
  <si>
    <t>Output Folder</t>
  </si>
  <si>
    <t>Status</t>
  </si>
  <si>
    <t>Ready</t>
  </si>
  <si>
    <t>Instructions</t>
  </si>
  <si>
    <t>Import VBA modules, save as .xlsm, then run BuildToolkit.</t>
  </si>
  <si>
    <t>Setting</t>
  </si>
  <si>
    <t>Value</t>
  </si>
  <si>
    <t>Hours Sheet</t>
  </si>
  <si>
    <t>Hours</t>
  </si>
  <si>
    <t>Employee Column</t>
  </si>
  <si>
    <t>A</t>
  </si>
  <si>
    <t>Facility Column</t>
  </si>
  <si>
    <t>C</t>
  </si>
  <si>
    <t>Regular Column</t>
  </si>
  <si>
    <t>F</t>
  </si>
  <si>
    <t>Overtime Column</t>
  </si>
  <si>
    <t>G</t>
  </si>
  <si>
    <t>Double Time Column</t>
  </si>
  <si>
    <t>H</t>
  </si>
  <si>
    <t>Holiday Column</t>
  </si>
  <si>
    <t>I</t>
  </si>
  <si>
    <t>Previous Payment Column</t>
  </si>
  <si>
    <t>K</t>
  </si>
  <si>
    <t>Actual Payment Column</t>
  </si>
  <si>
    <t>N</t>
  </si>
  <si>
    <t>Regular Rate</t>
  </si>
  <si>
    <t>Overtime Rate</t>
  </si>
  <si>
    <t>Double Time Rate</t>
  </si>
  <si>
    <t>Holiday Rate</t>
  </si>
  <si>
    <t>Paystub Template Sheet</t>
  </si>
  <si>
    <t>PAYSTUB</t>
  </si>
  <si>
    <t>Employee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</si>
</sst>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m\ d\,\ yyyy"/>
    <numFmt numFmtId="165" formatCode="&quot;$&quot;#,##0.00"/>
  </numFmts>
  <fonts count="10">
    <font>
      <sz val="10"/>
      <color rgb="FF000000"/>
      <name val="Arial"/>
    </font>
    <font>
      <sz val="10"/>
      <color rgb="FF000000"/>
      <name val="Noto Sans JP"/>
    </font>
    <font>
      <sz val="10"/>
      <color theme="1"/>
      <name val="Noto Sans JP"/>
    </font>
    <font>
      <b/>
      <sz val="18"/>
      <color rgb="FF000000"/>
      <name val="Noto Sans JP"/>
    </font>
    <font>
      <b/>
      <sz val="12"/>
      <color theme="1"/>
      <name val="Noto Sans JP"/>
    </font>
    <font>
      <sz val="10"/>
      <name val="Arial"/>
      <family val="2"/>
    </font>
    <font>
      <sz val="10"/>
      <color rgb="FF111111"/>
      <name val="Noto Sans"/>
    </font>
    <font>
      <b/>
      <sz val="18"/>
      <color rgb="FFFFFFFF"/>
      <name val="Arial"/>
      <family val="2"/>
    </font>
    <font>
      <b/>
      <sz val="10"/>
      <color rgb="FF000000"/>
      <name val="Arial"/>
      <family val="2"/>
    </font>
    <font>
      <b/>
      <sz val="10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1F0E8"/>
      </patternFill>
    </fill>
    <fill>
      <patternFill patternType="solid">
        <fgColor rgb="FF123A5A"/>
      </patternFill>
    </fill>
    <fill>
      <patternFill patternType="solid">
        <fgColor rgb="FFD9EAF7"/>
      </patternFill>
    </fill>
  </fills>
  <borders count="4">
    <border>
      <left/>
      <right/>
      <top/>
      <bottom/>
      <diagonal/>
    </border>
    <border>
      <left/>
      <right/>
      <top/>
      <bottom style="thin">
        <color rgb="FFF1F0E8"/>
      </bottom>
      <diagonal/>
    </border>
    <border>
      <left style="thin">
        <color rgb="FFF1F0E8"/>
      </left>
      <right/>
      <top/>
      <bottom style="thin">
        <color rgb="FFF1F0E8"/>
      </bottom>
      <diagonal/>
    </border>
    <border>
      <left/>
      <right style="thin">
        <color rgb="FFF1F0E8"/>
      </right>
      <top/>
      <bottom style="thin">
        <color rgb="FFF1F0E8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 applyAlignment="1">
      <alignment horizontal="left"/>
    </xf>
    <xf numFmtId="0" fontId="2" fillId="0" borderId="0" xfId="0" applyFont="1"/>
    <xf numFmtId="0" fontId="2" fillId="2" borderId="0" xfId="0" applyFont="1" applyFill="1" applyAlignment="1">
      <alignment horizontal="right"/>
    </xf>
    <xf numFmtId="0" fontId="2" fillId="2" borderId="0" xfId="0" applyFont="1" applyFill="1"/>
    <xf numFmtId="0" fontId="1" fillId="2" borderId="2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1" fillId="2" borderId="0" xfId="0" applyNumberFormat="1" applyFont="1" applyFill="1" applyAlignment="1">
      <alignment horizontal="center"/>
    </xf>
    <xf numFmtId="0" fontId="8" fillId="5" borderId="0" xfId="0" applyFont="1" applyFill="1" applyAlignment="1">
      <alignment wrapText="1"/>
    </xf>
    <xf numFmtId="0" fontId="0" fillId="0" borderId="0" xfId="0" applyAlignment="1">
      <alignment wrapText="1"/>
    </xf>
    <xf numFmtId="0" fontId="9" fillId="4" borderId="0" xfId="0" applyFont="1" applyFill="1"/>
    <xf numFmtId="0" fontId="2" fillId="3" borderId="0" xfId="0" applyFont="1" applyFill="1"/>
    <xf numFmtId="0" fontId="0" fillId="0" borderId="0" xfId="0"/>
    <xf numFmtId="0" fontId="1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4" fillId="3" borderId="0" xfId="0" applyFont="1" applyFill="1" applyAlignment="1">
      <alignment horizontal="center"/>
    </xf>
    <xf numFmtId="0" fontId="1" fillId="3" borderId="1" xfId="0" applyFont="1" applyFill="1" applyBorder="1" applyAlignment="1">
      <alignment horizontal="left"/>
    </xf>
    <xf numFmtId="0" fontId="5" fillId="0" borderId="1" xfId="0" applyFont="1" applyBorder="1"/>
    <xf numFmtId="0" fontId="2" fillId="0" borderId="0" xfId="0" applyFont="1"/>
    <xf numFmtId="0" fontId="6" fillId="0" borderId="0" xfId="0" applyFont="1"/>
    <xf numFmtId="0" fontId="1" fillId="3" borderId="0" xfId="0" applyFont="1" applyFill="1" applyAlignment="1">
      <alignment horizontal="left"/>
    </xf>
    <xf numFmtId="0" fontId="2" fillId="2" borderId="0" xfId="0" applyFont="1" applyFill="1"/>
    <xf numFmtId="164" fontId="2" fillId="0" borderId="0" xfId="0" applyNumberFormat="1" applyFont="1" applyAlignment="1">
      <alignment horizontal="left"/>
    </xf>
    <xf numFmtId="0" fontId="7" fillId="4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Sheets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Z1008"/>
  <sheetViews>
    <sheetView showGridLines="0" tabSelected="1" workbookViewId="0">
      <selection activeCell="L34" sqref="L34"/>
    </sheetView>
  </sheetViews>
  <sheetFormatPr baseColWidth="10" defaultColWidth="12.5" defaultRowHeight="13"/>
  <cols>
    <col min="5" max="5" width="22.33203125" customWidth="1"/>
  </cols>
  <sheetData>
    <row r="2" spans="1:26" ht="15.75" customHeight="1">
      <c r="A2" s="16" t="s">
        <v>0</v>
      </c>
      <c r="B2" s="15"/>
      <c r="C2" s="15"/>
    </row>
    <row r="3" spans="1:26" ht="15.75" customHeight="1">
      <c r="A3" s="16" t="s">
        <v>1</v>
      </c>
      <c r="B3" s="15"/>
      <c r="C3" s="15"/>
    </row>
    <row r="4" spans="1:26" ht="15.75" customHeight="1">
      <c r="A4" s="16" t="s">
        <v>2</v>
      </c>
      <c r="B4" s="15"/>
      <c r="C4" s="15"/>
    </row>
    <row r="6" spans="1:26">
      <c r="A6" s="1"/>
      <c r="B6" s="1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>
      <c r="A7" s="1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" customHeight="1">
      <c r="A8" s="17" t="s">
        <v>3</v>
      </c>
      <c r="B8" s="18"/>
      <c r="C8" s="18"/>
      <c r="D8" s="18"/>
      <c r="E8" s="18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6">
      <c r="A10" s="19" t="s">
        <v>4</v>
      </c>
      <c r="B10" s="15"/>
      <c r="C10" s="15"/>
      <c r="D10" s="15"/>
      <c r="E10" s="15"/>
      <c r="F10" s="15"/>
      <c r="G10" s="15"/>
      <c r="H10" s="15"/>
      <c r="I10" s="15"/>
      <c r="J10" s="15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>
      <c r="A12" s="3"/>
      <c r="B12" s="20" t="s">
        <v>5</v>
      </c>
      <c r="C12" s="21"/>
      <c r="D12" s="22" t="s">
        <v>6</v>
      </c>
      <c r="E12" s="15"/>
      <c r="F12" s="14" t="s">
        <v>7</v>
      </c>
      <c r="G12" s="15"/>
      <c r="H12" s="16" t="s">
        <v>8</v>
      </c>
      <c r="I12" s="15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>
      <c r="A13" s="2"/>
      <c r="B13" s="4"/>
      <c r="C13" s="4"/>
      <c r="D13" s="2"/>
      <c r="E13" s="2"/>
      <c r="F13" s="1"/>
      <c r="G13" s="1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4">
      <c r="A14" s="2"/>
      <c r="B14" s="14" t="s">
        <v>9</v>
      </c>
      <c r="C14" s="15"/>
      <c r="D14" s="23" t="s">
        <v>10</v>
      </c>
      <c r="E14" s="22"/>
      <c r="F14" s="24" t="s">
        <v>11</v>
      </c>
      <c r="G14" s="15"/>
      <c r="H14" s="22" t="s">
        <v>12</v>
      </c>
      <c r="I14" s="15"/>
      <c r="J14" s="15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4">
      <c r="A15" s="3"/>
      <c r="B15" s="25"/>
      <c r="C15" s="15"/>
      <c r="D15" s="23" t="s">
        <v>13</v>
      </c>
      <c r="E15" s="2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>
      <c r="A16" s="3"/>
      <c r="B16" s="4"/>
      <c r="C16" s="4"/>
      <c r="D16" s="1"/>
      <c r="E16" s="1"/>
      <c r="F16" s="24" t="s">
        <v>14</v>
      </c>
      <c r="G16" s="15"/>
      <c r="H16" s="26">
        <v>46003</v>
      </c>
      <c r="I16" s="15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>
      <c r="A17" s="3"/>
      <c r="B17" s="14" t="s">
        <v>15</v>
      </c>
      <c r="C17" s="15"/>
      <c r="D17" s="16" t="s">
        <v>16</v>
      </c>
      <c r="E17" s="15"/>
      <c r="F17" s="4"/>
      <c r="G17" s="1"/>
      <c r="H17" s="1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>
      <c r="A18" s="2"/>
      <c r="B18" s="1"/>
      <c r="C18" s="1"/>
      <c r="D18" s="1"/>
      <c r="E18" s="1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>
      <c r="A19" s="2"/>
      <c r="B19" s="24" t="s">
        <v>17</v>
      </c>
      <c r="C19" s="15"/>
      <c r="D19" s="16" t="s">
        <v>18</v>
      </c>
      <c r="E19" s="15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>
      <c r="A20" s="2"/>
      <c r="B20" s="2"/>
      <c r="C20" s="2"/>
      <c r="D20" s="2"/>
      <c r="E20" s="3"/>
      <c r="F20" s="3"/>
      <c r="G20" s="5"/>
      <c r="H20" s="6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6">
      <c r="A21" s="19" t="s">
        <v>19</v>
      </c>
      <c r="B21" s="15"/>
      <c r="C21" s="15"/>
      <c r="D21" s="15"/>
      <c r="E21" s="15"/>
      <c r="F21" s="15"/>
      <c r="G21" s="15"/>
      <c r="H21" s="15"/>
      <c r="I21" s="15"/>
      <c r="J21" s="15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>
      <c r="A22" s="2"/>
      <c r="B22" s="2"/>
      <c r="C22" s="2"/>
      <c r="D22" s="2"/>
      <c r="E22" s="7" t="s">
        <v>20</v>
      </c>
      <c r="F22" s="7" t="s">
        <v>21</v>
      </c>
      <c r="G22" s="7" t="s">
        <v>22</v>
      </c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>
      <c r="A23" s="2"/>
      <c r="B23" s="2"/>
      <c r="C23" s="2" t="s">
        <v>23</v>
      </c>
      <c r="D23" s="2"/>
      <c r="E23" s="8">
        <v>30</v>
      </c>
      <c r="F23" s="8">
        <v>55.2667</v>
      </c>
      <c r="G23" s="8">
        <f t="shared" ref="G23:G25" si="0">E23*F23</f>
        <v>1658.001</v>
      </c>
      <c r="H23" s="9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>
      <c r="A24" s="2"/>
      <c r="B24" s="2"/>
      <c r="C24" s="2" t="s">
        <v>24</v>
      </c>
      <c r="D24" s="2"/>
      <c r="E24" s="8">
        <f>E23*1.5</f>
        <v>45</v>
      </c>
      <c r="F24" s="8">
        <v>0.83330000000000004</v>
      </c>
      <c r="G24" s="8">
        <f t="shared" si="0"/>
        <v>37.4985</v>
      </c>
      <c r="H24" s="9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>
      <c r="A25" s="2"/>
      <c r="B25" s="2"/>
      <c r="C25" s="2" t="s">
        <v>25</v>
      </c>
      <c r="D25" s="2"/>
      <c r="E25" s="8">
        <f>E23*2</f>
        <v>60</v>
      </c>
      <c r="F25" s="8">
        <v>0</v>
      </c>
      <c r="G25" s="8">
        <f t="shared" si="0"/>
        <v>0</v>
      </c>
      <c r="H25" s="9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>
      <c r="A26" s="2"/>
      <c r="B26" s="2"/>
      <c r="C26" s="2" t="s">
        <v>26</v>
      </c>
      <c r="D26" s="2"/>
      <c r="E26" s="8">
        <v>45</v>
      </c>
      <c r="F26" s="8">
        <v>0</v>
      </c>
      <c r="G26" s="8">
        <f t="shared" ref="G26" si="1">E26*F26</f>
        <v>0</v>
      </c>
      <c r="H26" s="9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6">
      <c r="A27" s="19" t="s">
        <v>27</v>
      </c>
      <c r="B27" s="15"/>
      <c r="C27" s="15"/>
      <c r="D27" s="15"/>
      <c r="E27" s="15"/>
      <c r="F27" s="15"/>
      <c r="G27" s="15"/>
      <c r="H27" s="15"/>
      <c r="I27" s="15"/>
      <c r="J27" s="15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>
      <c r="A28" s="2"/>
      <c r="B28" s="2"/>
      <c r="C28" s="2"/>
      <c r="D28" s="2"/>
      <c r="E28" s="2"/>
      <c r="F28" s="2"/>
      <c r="G28" s="7" t="s">
        <v>22</v>
      </c>
      <c r="H28" s="7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>
      <c r="A29" s="2"/>
      <c r="B29" s="2"/>
      <c r="C29" s="22" t="s">
        <v>28</v>
      </c>
      <c r="D29" s="15"/>
      <c r="E29" s="2"/>
      <c r="F29" s="2"/>
      <c r="G29" s="10">
        <v>0</v>
      </c>
      <c r="H29" s="9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>
      <c r="A30" s="2"/>
      <c r="B30" s="2"/>
      <c r="C30" s="22" t="s">
        <v>29</v>
      </c>
      <c r="D30" s="15"/>
      <c r="E30" s="2"/>
      <c r="F30" s="2"/>
      <c r="G30" s="10">
        <v>0</v>
      </c>
      <c r="H30" s="9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>
      <c r="A31" s="2"/>
      <c r="B31" s="2"/>
      <c r="C31" s="22" t="s">
        <v>30</v>
      </c>
      <c r="D31" s="15"/>
      <c r="E31" s="2"/>
      <c r="F31" s="2"/>
      <c r="G31" s="10">
        <v>0</v>
      </c>
      <c r="H31" s="9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>
      <c r="A32" s="2"/>
      <c r="B32" s="2"/>
      <c r="C32" s="22" t="s">
        <v>31</v>
      </c>
      <c r="D32" s="15"/>
      <c r="E32" s="2"/>
      <c r="F32" s="2"/>
      <c r="G32" s="10">
        <v>0</v>
      </c>
      <c r="H32" s="9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>
      <c r="A33" s="2"/>
      <c r="B33" s="2"/>
      <c r="C33" s="22" t="s">
        <v>32</v>
      </c>
      <c r="D33" s="15"/>
      <c r="E33" s="2"/>
      <c r="F33" s="2"/>
      <c r="G33" s="10">
        <v>0</v>
      </c>
      <c r="H33" s="9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6">
      <c r="A35" s="19" t="s">
        <v>33</v>
      </c>
      <c r="B35" s="15"/>
      <c r="C35" s="15"/>
      <c r="D35" s="15"/>
      <c r="E35" s="15"/>
      <c r="F35" s="15"/>
      <c r="G35" s="15"/>
      <c r="H35" s="15"/>
      <c r="I35" s="15"/>
      <c r="J35" s="15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>
      <c r="A36" s="2"/>
      <c r="B36" s="2"/>
      <c r="C36" s="2"/>
      <c r="D36" s="2"/>
      <c r="E36" s="2"/>
      <c r="F36" s="2"/>
      <c r="G36" s="7" t="s">
        <v>22</v>
      </c>
      <c r="H36" s="7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>
      <c r="A37" s="2"/>
      <c r="B37" s="2"/>
      <c r="C37" s="2" t="s">
        <v>21</v>
      </c>
      <c r="D37" s="2"/>
      <c r="E37" s="2"/>
      <c r="F37" s="2"/>
      <c r="G37" s="8">
        <f>F23+F24+F25+F26</f>
        <v>56.1</v>
      </c>
      <c r="H37" s="7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>
      <c r="A38" s="2"/>
      <c r="B38" s="2"/>
      <c r="C38" s="2" t="s">
        <v>19</v>
      </c>
      <c r="D38" s="2"/>
      <c r="E38" s="2"/>
      <c r="F38" s="2"/>
      <c r="G38" s="8">
        <f>SUM(G23:G26)</f>
        <v>1695.4994999999999</v>
      </c>
      <c r="H38" s="7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 t="s">
        <v>27</v>
      </c>
      <c r="D39" s="2"/>
      <c r="E39" s="2"/>
      <c r="F39" s="2"/>
      <c r="G39" s="9">
        <f>SUM(G29:G33)</f>
        <v>0</v>
      </c>
      <c r="H39" s="7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 t="s">
        <v>34</v>
      </c>
      <c r="D40" s="2"/>
      <c r="E40" s="2"/>
      <c r="F40" s="2"/>
      <c r="G40" s="8">
        <f>G38-G39</f>
        <v>1695.4994999999999</v>
      </c>
      <c r="H40" s="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</sheetData>
  <mergeCells count="29">
    <mergeCell ref="C32:D32"/>
    <mergeCell ref="C33:D33"/>
    <mergeCell ref="A35:J35"/>
    <mergeCell ref="B15:C15"/>
    <mergeCell ref="B17:C17"/>
    <mergeCell ref="D17:E17"/>
    <mergeCell ref="B19:C19"/>
    <mergeCell ref="D19:E19"/>
    <mergeCell ref="A21:J21"/>
    <mergeCell ref="A27:J27"/>
    <mergeCell ref="F16:G16"/>
    <mergeCell ref="H16:I16"/>
    <mergeCell ref="C29:D29"/>
    <mergeCell ref="C30:D30"/>
    <mergeCell ref="C31:D31"/>
    <mergeCell ref="B14:C14"/>
    <mergeCell ref="D14:E14"/>
    <mergeCell ref="F14:G14"/>
    <mergeCell ref="H14:J14"/>
    <mergeCell ref="D15:E15"/>
    <mergeCell ref="F12:G12"/>
    <mergeCell ref="H12:I12"/>
    <mergeCell ref="A2:C2"/>
    <mergeCell ref="A3:C3"/>
    <mergeCell ref="A4:C4"/>
    <mergeCell ref="A8:E8"/>
    <mergeCell ref="A10:J10"/>
    <mergeCell ref="B12:C12"/>
    <mergeCell ref="D12:E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8"/>
  <sheetViews>
    <sheetView workbookViewId="0"/>
  </sheetViews>
  <sheetFormatPr baseColWidth="10" defaultColWidth="8.83203125" defaultRowHeight="13"/>
  <cols>
    <col min="1" max="1" width="18" customWidth="1"/>
    <col min="2" max="2" width="40" customWidth="1"/>
    <col min="3" max="6" width="18" customWidth="1"/>
  </cols>
  <sheetData>
    <row r="1" spans="1:6" ht="40" customHeight="1">
      <c r="A1" s="27" t="s">
        <v>35</v>
      </c>
      <c r="B1" s="27"/>
      <c r="C1" s="27"/>
      <c r="D1" s="27"/>
      <c r="E1" s="27"/>
      <c r="F1" s="27"/>
    </row>
    <row r="3" spans="1:6" ht="14">
      <c r="A3" s="11" t="s">
        <v>36</v>
      </c>
      <c r="B3" s="12"/>
      <c r="C3" s="12"/>
      <c r="D3" s="12"/>
      <c r="E3" s="12"/>
      <c r="F3" s="12"/>
    </row>
    <row r="4" spans="1:6" ht="14">
      <c r="A4" s="11" t="s">
        <v>37</v>
      </c>
      <c r="B4" s="12"/>
      <c r="C4" s="12"/>
      <c r="D4" s="12"/>
      <c r="E4" s="12"/>
      <c r="F4" s="12"/>
    </row>
    <row r="5" spans="1:6" ht="14">
      <c r="A5" s="11" t="s">
        <v>38</v>
      </c>
      <c r="B5" s="12">
        <v>2026</v>
      </c>
      <c r="C5" s="12"/>
      <c r="D5" s="12"/>
      <c r="E5" s="12"/>
      <c r="F5" s="12"/>
    </row>
    <row r="6" spans="1:6" ht="14">
      <c r="A6" s="11" t="s">
        <v>39</v>
      </c>
      <c r="B6" s="12"/>
      <c r="C6" s="12"/>
      <c r="D6" s="12"/>
      <c r="E6" s="12"/>
      <c r="F6" s="12"/>
    </row>
    <row r="7" spans="1:6" ht="14">
      <c r="A7" s="11" t="s">
        <v>40</v>
      </c>
      <c r="B7" s="12" t="s">
        <v>41</v>
      </c>
      <c r="C7" s="12"/>
      <c r="D7" s="12"/>
      <c r="E7" s="12"/>
      <c r="F7" s="12"/>
    </row>
    <row r="8" spans="1:6" ht="28">
      <c r="A8" s="11" t="s">
        <v>42</v>
      </c>
      <c r="B8" s="12" t="s">
        <v>43</v>
      </c>
      <c r="C8" s="12"/>
      <c r="D8" s="12"/>
      <c r="E8" s="12"/>
      <c r="F8" s="12"/>
    </row>
  </sheetData>
  <mergeCells count="1">
    <mergeCell ref="A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15"/>
  <sheetViews>
    <sheetView workbookViewId="0"/>
  </sheetViews>
  <sheetFormatPr baseColWidth="10" defaultColWidth="8.83203125" defaultRowHeight="13"/>
  <cols>
    <col min="1" max="2" width="28" customWidth="1"/>
  </cols>
  <sheetData>
    <row r="1" spans="1:2">
      <c r="A1" s="13" t="s">
        <v>44</v>
      </c>
      <c r="B1" s="13" t="s">
        <v>45</v>
      </c>
    </row>
    <row r="2" spans="1:2">
      <c r="A2" t="s">
        <v>46</v>
      </c>
      <c r="B2" t="s">
        <v>47</v>
      </c>
    </row>
    <row r="3" spans="1:2">
      <c r="A3" t="s">
        <v>48</v>
      </c>
      <c r="B3" t="s">
        <v>49</v>
      </c>
    </row>
    <row r="4" spans="1:2">
      <c r="A4" t="s">
        <v>50</v>
      </c>
      <c r="B4" t="s">
        <v>51</v>
      </c>
    </row>
    <row r="5" spans="1:2">
      <c r="A5" t="s">
        <v>52</v>
      </c>
      <c r="B5" t="s">
        <v>53</v>
      </c>
    </row>
    <row r="6" spans="1:2">
      <c r="A6" t="s">
        <v>54</v>
      </c>
      <c r="B6" t="s">
        <v>55</v>
      </c>
    </row>
    <row r="7" spans="1:2">
      <c r="A7" t="s">
        <v>56</v>
      </c>
      <c r="B7" t="s">
        <v>57</v>
      </c>
    </row>
    <row r="8" spans="1:2">
      <c r="A8" t="s">
        <v>58</v>
      </c>
      <c r="B8" t="s">
        <v>59</v>
      </c>
    </row>
    <row r="9" spans="1:2">
      <c r="A9" t="s">
        <v>60</v>
      </c>
      <c r="B9" t="s">
        <v>61</v>
      </c>
    </row>
    <row r="10" spans="1:2">
      <c r="A10" t="s">
        <v>62</v>
      </c>
      <c r="B10" t="s">
        <v>63</v>
      </c>
    </row>
    <row r="11" spans="1:2">
      <c r="A11" t="s">
        <v>64</v>
      </c>
      <c r="B11">
        <v>30</v>
      </c>
    </row>
    <row r="12" spans="1:2">
      <c r="A12" t="s">
        <v>65</v>
      </c>
      <c r="B12">
        <v>45</v>
      </c>
    </row>
    <row r="13" spans="1:2">
      <c r="A13" t="s">
        <v>66</v>
      </c>
      <c r="B13">
        <v>60</v>
      </c>
    </row>
    <row r="14" spans="1:2">
      <c r="A14" t="s">
        <v>67</v>
      </c>
      <c r="B14">
        <v>45</v>
      </c>
    </row>
    <row r="15" spans="1:2">
      <c r="A15" t="s">
        <v>68</v>
      </c>
      <c r="B15" t="s">
        <v>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baseColWidth="10" defaultColWidth="8.83203125" defaultRowHeight="13"/>
  <cols>
    <col min="1" max="1" width="32" customWidth="1"/>
  </cols>
  <sheetData>
    <row r="1" spans="1:1">
      <c r="A1" s="13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PAYSTUB</vt:lpstr>
      <vt:lpstr>Dashboard</vt:lpstr>
      <vt:lpstr>Settings</vt:lpstr>
      <vt:lpstr>Employees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Valley@Wezen</cp:lastModifiedBy>
  <dcterms:created xsi:type="dcterms:W3CDTF">2026-08-18T16:36:44Z</dcterms:created>
  <dcterms:modified xsi:type="dcterms:W3CDTF">2026-08-18T16:36:44Z</dcterms:modified>
</cp:coreProperties>
</file>